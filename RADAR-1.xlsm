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ndgng\Downloads\"/>
    </mc:Choice>
  </mc:AlternateContent>
  <xr:revisionPtr revIDLastSave="0" documentId="13_ncr:1_{28D04620-20AE-4781-97D6-CF726FBEB30D}" xr6:coauthVersionLast="47" xr6:coauthVersionMax="47" xr10:uidLastSave="{00000000-0000-0000-0000-000000000000}"/>
  <bookViews>
    <workbookView xWindow="90" yWindow="0" windowWidth="12000" windowHeight="8170" tabRatio="792" activeTab="1" xr2:uid="{00000000-000D-0000-FFFF-FFFF00000000}"/>
  </bookViews>
  <sheets>
    <sheet name="START" sheetId="87" r:id="rId1"/>
    <sheet name="Notes du quiz" sheetId="1018" r:id="rId2"/>
    <sheet name="Notes Traitées" sheetId="1019" r:id="rId3"/>
  </sheets>
  <definedNames>
    <definedName name="DonnéesExternes_1" localSheetId="1" hidden="1">'Notes du quiz'!$A$1:$Q$5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019" l="1"/>
  <c r="F4" i="1019"/>
  <c r="F5" i="1019"/>
  <c r="F2" i="1019"/>
  <c r="E3" i="1019"/>
  <c r="E4" i="1019"/>
  <c r="E5" i="1019"/>
  <c r="E2" i="1019"/>
  <c r="D3" i="1019"/>
  <c r="D4" i="1019"/>
  <c r="D5" i="1019"/>
  <c r="D2" i="10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97FF51-8792-4344-B770-D65CD770A94A}" keepAlive="1" name="Requête - M2ENSP- Projet 2022-2023-Exam CCN-notes" description="Connexion à la requête « M2ENSP- Projet 2022-2023-Exam CCN-notes » dans le classeur." type="5" refreshedVersion="8" background="1" saveData="1">
    <dbPr connection="Provider=Microsoft.Mashup.OleDb.1;Data Source=$Workbook$;Location=&quot;M2ENSP- Projet 2022-2023-Exam CCN-notes&quot;;Extended Properties=&quot;&quot;" command="SELECT * FROM [M2ENSP- Projet 2022-2023-Exam CCN-notes]"/>
  </connection>
</connections>
</file>

<file path=xl/sharedStrings.xml><?xml version="1.0" encoding="utf-8"?>
<sst xmlns="http://schemas.openxmlformats.org/spreadsheetml/2006/main" count="65" uniqueCount="46">
  <si>
    <t>Etape 1</t>
  </si>
  <si>
    <t>Etape 2</t>
  </si>
  <si>
    <t>Traitement des données brutes</t>
  </si>
  <si>
    <t>Importation des données brutes</t>
  </si>
  <si>
    <r>
      <t xml:space="preserve">Cliquer sur le bouton </t>
    </r>
    <r>
      <rPr>
        <b/>
        <sz val="11"/>
        <color rgb="FFFF0000"/>
        <rFont val="Calibri"/>
        <family val="2"/>
        <scheme val="minor"/>
      </rPr>
      <t>"Traitement des Données"</t>
    </r>
    <r>
      <rPr>
        <sz val="11"/>
        <color theme="1"/>
        <rFont val="Calibri"/>
        <family val="2"/>
        <scheme val="minor"/>
      </rPr>
      <t xml:space="preserve"> et suivre les étapes dans la boite de dialogue qui s'affiche</t>
    </r>
  </si>
  <si>
    <t>Génération des graphiques "Radar"</t>
  </si>
  <si>
    <r>
      <t xml:space="preserve">Cliquer sur le bouton </t>
    </r>
    <r>
      <rPr>
        <b/>
        <sz val="11"/>
        <color rgb="FFFF0000"/>
        <rFont val="Calibri"/>
        <family val="2"/>
        <scheme val="minor"/>
      </rPr>
      <t>"Génération des Graphiques"</t>
    </r>
    <r>
      <rPr>
        <sz val="11"/>
        <rFont val="Calibri"/>
        <family val="2"/>
        <scheme val="minor"/>
      </rPr>
      <t>. Pour chaque étudiant, un graphique Radar sera créé dans une nouvelle feuille (#00-NOM)</t>
    </r>
  </si>
  <si>
    <t>Suppression des graphiques "Radar"</t>
  </si>
  <si>
    <r>
      <t xml:space="preserve">Cliquer sur le bouton </t>
    </r>
    <r>
      <rPr>
        <b/>
        <sz val="11"/>
        <color rgb="FFFF0000"/>
        <rFont val="Calibri"/>
        <family val="2"/>
        <scheme val="minor"/>
      </rPr>
      <t>"Suppression des Graphiques"</t>
    </r>
    <r>
      <rPr>
        <sz val="11"/>
        <rFont val="Calibri"/>
        <family val="2"/>
        <scheme val="minor"/>
      </rPr>
      <t>. Toutes les feuilles comportant un graphique seront supprimées.</t>
    </r>
  </si>
  <si>
    <t>Remarques</t>
  </si>
  <si>
    <r>
      <t xml:space="preserve">Recopier les données brutes exportées depuis </t>
    </r>
    <r>
      <rPr>
        <i/>
        <sz val="11"/>
        <color theme="1"/>
        <rFont val="Calibri"/>
        <family val="2"/>
        <scheme val="minor"/>
      </rPr>
      <t>Réussir</t>
    </r>
    <r>
      <rPr>
        <sz val="11"/>
        <color theme="1"/>
        <rFont val="Calibri"/>
        <family val="2"/>
        <scheme val="minor"/>
      </rPr>
      <t xml:space="preserve"> dans la </t>
    </r>
    <r>
      <rPr>
        <b/>
        <sz val="11"/>
        <color rgb="FFFF0000"/>
        <rFont val="Calibri"/>
        <family val="2"/>
        <scheme val="minor"/>
      </rPr>
      <t>deuxième</t>
    </r>
    <r>
      <rPr>
        <sz val="11"/>
        <color theme="1"/>
        <rFont val="Calibri"/>
        <family val="2"/>
        <scheme val="minor"/>
      </rPr>
      <t xml:space="preserve"> feuille</t>
    </r>
  </si>
  <si>
    <r>
      <rPr>
        <b/>
        <sz val="11"/>
        <color rgb="FFFF0000"/>
        <rFont val="Calibri"/>
        <family val="2"/>
        <scheme val="minor"/>
      </rPr>
      <t xml:space="preserve">* </t>
    </r>
    <r>
      <rPr>
        <sz val="11"/>
        <color theme="1"/>
        <rFont val="Calibri"/>
        <family val="2"/>
        <scheme val="minor"/>
      </rPr>
      <t xml:space="preserve">Il est important que les données importées de </t>
    </r>
    <r>
      <rPr>
        <i/>
        <sz val="11"/>
        <color theme="1"/>
        <rFont val="Calibri"/>
        <family val="2"/>
        <scheme val="minor"/>
      </rPr>
      <t>Réussir</t>
    </r>
    <r>
      <rPr>
        <sz val="11"/>
        <color theme="1"/>
        <rFont val="Calibri"/>
        <family val="2"/>
        <scheme val="minor"/>
      </rPr>
      <t xml:space="preserve"> soient placées dans la 2ème feuille
</t>
    </r>
    <r>
      <rPr>
        <b/>
        <sz val="11"/>
        <color rgb="FFFF0000"/>
        <rFont val="Calibri"/>
        <family val="2"/>
        <scheme val="minor"/>
      </rPr>
      <t>*</t>
    </r>
    <r>
      <rPr>
        <b/>
        <sz val="11"/>
        <color theme="1"/>
        <rFont val="Calibri"/>
        <family val="2"/>
        <scheme val="minor"/>
      </rPr>
      <t xml:space="preserve"> </t>
    </r>
    <r>
      <rPr>
        <sz val="11"/>
        <color theme="1"/>
        <rFont val="Calibri"/>
        <family val="2"/>
        <scheme val="minor"/>
      </rPr>
      <t xml:space="preserve">Ce Script suppose que les données importées contiennent un entête au niveau de la 1ère ligne
</t>
    </r>
    <r>
      <rPr>
        <sz val="11"/>
        <color rgb="FFFF0000"/>
        <rFont val="Calibri"/>
        <family val="2"/>
        <scheme val="minor"/>
      </rPr>
      <t>*</t>
    </r>
    <r>
      <rPr>
        <sz val="11"/>
        <color theme="1"/>
        <rFont val="Calibri"/>
        <family val="2"/>
        <scheme val="minor"/>
      </rPr>
      <t xml:space="preserve"> Ce Script supose que le nom de l'étudiant est présent dans la toute première colonne des données importées. Si ce n'est pas le cas, il faut mettre cette colonne au tout début </t>
    </r>
    <r>
      <rPr>
        <b/>
        <sz val="11"/>
        <color rgb="FFFF0000"/>
        <rFont val="Calibri"/>
        <family val="2"/>
        <scheme val="minor"/>
      </rPr>
      <t>avant l'étape 1</t>
    </r>
    <r>
      <rPr>
        <sz val="11"/>
        <color theme="1"/>
        <rFont val="Calibri"/>
        <family val="2"/>
        <scheme val="minor"/>
      </rPr>
      <t>.</t>
    </r>
  </si>
  <si>
    <t>Etape 3</t>
  </si>
  <si>
    <t>Etape 4 (optionnelle)</t>
  </si>
  <si>
    <t>Nom</t>
  </si>
  <si>
    <t>Prénom</t>
  </si>
  <si>
    <t>Adresse de courriel</t>
  </si>
  <si>
    <t>État</t>
  </si>
  <si>
    <t>Commencé le</t>
  </si>
  <si>
    <t>Terminé</t>
  </si>
  <si>
    <t>Temps utilisé</t>
  </si>
  <si>
    <t>Note/20,00</t>
  </si>
  <si>
    <t>Q. 1 /2,22</t>
  </si>
  <si>
    <t>Q. 2 /2,22</t>
  </si>
  <si>
    <t>Q. 3 /2,22</t>
  </si>
  <si>
    <t>Q. 4 /2,22</t>
  </si>
  <si>
    <t>Q. 5 /2,22</t>
  </si>
  <si>
    <t>Q. 6 /2,22</t>
  </si>
  <si>
    <t>Q. 7 /2,22</t>
  </si>
  <si>
    <t>Q. 8 /2,22</t>
  </si>
  <si>
    <t>Q. 9 /2,22</t>
  </si>
  <si>
    <t>DAPI</t>
  </si>
  <si>
    <t>Etudiant03</t>
  </si>
  <si>
    <t>bc9c0675a71cf38e823ee5105f14aaad</t>
  </si>
  <si>
    <t>1 min 31 s</t>
  </si>
  <si>
    <t>Etudiant01</t>
  </si>
  <si>
    <t>71aee8aa9148a6814162440ae0412901</t>
  </si>
  <si>
    <t>1 min 17 s</t>
  </si>
  <si>
    <t>Etudiant02</t>
  </si>
  <si>
    <t>40cbf3cdf52a1f60a83f9b6ebaff6e4e</t>
  </si>
  <si>
    <t>1 min</t>
  </si>
  <si>
    <t>Moyenne globale</t>
  </si>
  <si>
    <t/>
  </si>
  <si>
    <t>Domaine 5</t>
  </si>
  <si>
    <t>Domaine 1</t>
  </si>
  <si>
    <t>Non connu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</si>
</sst>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sz val="12"/>
      <color rgb="FF000000"/>
      <name val="Calibri"/>
      <family val="2"/>
    </font>
    <font>
      <i/>
      <sz val="11"/>
      <color theme="1"/>
      <name val="Calibri"/>
      <family val="2"/>
      <scheme val="minor"/>
    </font>
    <font>
      <sz val="12"/>
      <color rgb="FF000000"/>
      <name val="Calibri"/>
      <family val="2"/>
    </font>
    <font>
      <b/>
      <sz val="11"/>
      <color rgb="FF000000"/>
      <name val="Calibri"/>
      <family val="2"/>
    </font>
    <font>
      <sz val="11"/>
      <color theme="0"/>
      <name val="Calibri"/>
      <family val="2"/>
      <scheme val="minor"/>
    </font>
    <font>
      <sz val="8"/>
      <name val="Calibri"/>
      <family val="2"/>
      <scheme val="minor"/>
    </font>
  </fonts>
  <fills count="4">
    <fill>
      <patternFill patternType="none"/>
    </fill>
    <fill>
      <patternFill patternType="gray125"/>
    </fill>
    <fill>
      <patternFill patternType="solid">
        <fgColor theme="0"/>
        <bgColor indexed="64"/>
      </patternFill>
    </fill>
    <fill>
      <patternFill patternType="solid">
        <fgColor theme="4"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5" fillId="0" borderId="0"/>
    <xf numFmtId="0" fontId="7" fillId="0" borderId="0"/>
    <xf numFmtId="0" fontId="7" fillId="0" borderId="0"/>
  </cellStyleXfs>
  <cellXfs count="20">
    <xf numFmtId="0" fontId="0" fillId="0" borderId="0" xfId="0"/>
    <xf numFmtId="0" fontId="0" fillId="2" borderId="0" xfId="0" applyFill="1"/>
    <xf numFmtId="0" fontId="1" fillId="2" borderId="1" xfId="0" applyFont="1" applyFill="1" applyBorder="1" applyAlignment="1">
      <alignment horizontal="center" vertical="center"/>
    </xf>
    <xf numFmtId="0" fontId="1" fillId="3" borderId="1" xfId="0" applyFont="1" applyFill="1" applyBorder="1" applyAlignment="1">
      <alignment vertical="top"/>
    </xf>
    <xf numFmtId="0" fontId="1" fillId="3" borderId="2" xfId="0" applyFont="1" applyFill="1" applyBorder="1" applyAlignment="1">
      <alignment vertical="top"/>
    </xf>
    <xf numFmtId="0" fontId="9" fillId="2" borderId="0" xfId="0" applyFont="1" applyFill="1"/>
    <xf numFmtId="0" fontId="9" fillId="0" borderId="0" xfId="0" applyFont="1"/>
    <xf numFmtId="49" fontId="0" fillId="0" borderId="0" xfId="0" applyNumberFormat="1"/>
    <xf numFmtId="2" fontId="0" fillId="0" borderId="0" xfId="0" applyNumberFormat="1"/>
    <xf numFmtId="22" fontId="0" fillId="0" borderId="0" xfId="0" applyNumberFormat="1"/>
    <xf numFmtId="0" fontId="1" fillId="0" borderId="0" xfId="0" applyFont="1" applyAlignment="1">
      <alignment horizontal="center"/>
    </xf>
    <xf numFmtId="2" fontId="1" fillId="0" borderId="0" xfId="0"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3" xfId="0" applyFill="1" applyBorder="1" applyAlignment="1">
      <alignment horizontal="center" vertical="center" wrapText="1"/>
    </xf>
    <xf numFmtId="0" fontId="0" fillId="2" borderId="4" xfId="0" applyFill="1" applyBorder="1" applyAlignment="1">
      <alignment horizontal="center" vertical="center" wrapText="1"/>
    </xf>
    <xf numFmtId="0" fontId="0" fillId="2" borderId="5" xfId="0" applyFill="1" applyBorder="1" applyAlignment="1">
      <alignment horizontal="center" vertical="center"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5" xfId="0" applyFill="1" applyBorder="1" applyAlignment="1">
      <alignment horizontal="left" vertical="top" wrapText="1"/>
    </xf>
  </cellXfs>
  <cellStyles count="4">
    <cellStyle name="Normal" xfId="0" builtinId="0"/>
    <cellStyle name="Normal 2" xfId="1" xr:uid="{00000000-0005-0000-0000-000001000000}"/>
    <cellStyle name="Normal 2 2" xfId="3" xr:uid="{00000000-0005-0000-0000-000002000000}"/>
    <cellStyle name="Normal 3" xfId="2" xr:uid="{00000000-0005-0000-0000-000003000000}"/>
  </cellStyles>
  <dxfs count="7">
    <dxf>
      <numFmt numFmtId="0" formatCode="General"/>
    </dxf>
    <dxf>
      <numFmt numFmtId="27" formatCode="dd/mm/yyyy\ hh:mm"/>
    </dxf>
    <dxf>
      <numFmt numFmtId="27" formatCode="dd/mm/yyyy\ hh:mm"/>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connections" Target="connection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5</xdr:row>
          <xdr:rowOff>184150</xdr:rowOff>
        </xdr:from>
        <xdr:to>
          <xdr:col>6</xdr:col>
          <xdr:colOff>95250</xdr:colOff>
          <xdr:row>7</xdr:row>
          <xdr:rowOff>190500</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000-000002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ea typeface="Calibri"/>
                  <a:cs typeface="Calibri"/>
                </a:rPr>
                <a:t>Traitement des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10</xdr:row>
          <xdr:rowOff>171450</xdr:rowOff>
        </xdr:from>
        <xdr:to>
          <xdr:col>6</xdr:col>
          <xdr:colOff>127000</xdr:colOff>
          <xdr:row>12</xdr:row>
          <xdr:rowOff>184150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000-000003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ea typeface="Calibri"/>
                  <a:cs typeface="Calibri"/>
                </a:rPr>
                <a:t>Génération des Graphiques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15</xdr:row>
          <xdr:rowOff>171450</xdr:rowOff>
        </xdr:from>
        <xdr:to>
          <xdr:col>6</xdr:col>
          <xdr:colOff>114300</xdr:colOff>
          <xdr:row>17</xdr:row>
          <xdr:rowOff>146050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000-000004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ea typeface="Calibri"/>
                  <a:cs typeface="Calibri"/>
                </a:rPr>
                <a:t>Supprimer les graphiques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643A4D8-1BF0-448C-8A0B-79B5EF15F403}" autoFormatId="16" applyNumberFormats="0" applyBorderFormats="0" applyFontFormats="0" applyPatternFormats="0" applyAlignmentFormats="0" applyWidthHeightFormats="0">
  <queryTableRefresh nextId="18">
    <queryTableFields count="17">
      <queryTableField id="1" name="Nom" tableColumnId="1"/>
      <queryTableField id="2" name="Prénom" tableColumnId="2"/>
      <queryTableField id="3" name="Adresse de courriel" tableColumnId="3"/>
      <queryTableField id="4" name="État" tableColumnId="4"/>
      <queryTableField id="5" name="Commencé le" tableColumnId="5"/>
      <queryTableField id="6" name="Terminé" tableColumnId="6"/>
      <queryTableField id="7" name="Temps utilisé" tableColumnId="7"/>
      <queryTableField id="8" name="Note/20,00" tableColumnId="8"/>
      <queryTableField id="9" name="Q. 1 /2,22" tableColumnId="9"/>
      <queryTableField id="10" name="Q. 2 /2,22" tableColumnId="10"/>
      <queryTableField id="11" name="Q. 3 /2,22" tableColumnId="11"/>
      <queryTableField id="12" name="Q. 4 /2,22" tableColumnId="12"/>
      <queryTableField id="13" name="Q. 5 /2,22" tableColumnId="13"/>
      <queryTableField id="14" name="Q. 6 /2,22" tableColumnId="14"/>
      <queryTableField id="15" name="Q. 7 /2,22" tableColumnId="15"/>
      <queryTableField id="16" name="Q. 8 /2,22" tableColumnId="16"/>
      <queryTableField id="17" name="Q. 9 /2,22" tableColumnId="1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D528F9-820D-4891-A428-519917861D58}" name="M2ENSP__Projet_2022_2023_Exam_CCN_notes" displayName="M2ENSP__Projet_2022_2023_Exam_CCN_notes" ref="A1:Q5" tableType="queryTable" totalsRowShown="0">
  <autoFilter ref="A1:Q5" xr:uid="{D0D528F9-820D-4891-A428-519917861D58}"/>
  <tableColumns count="17">
    <tableColumn id="1" xr3:uid="{E9B6A785-FA96-4420-BBFD-177E595F2E68}" uniqueName="1" name="Nom" queryTableFieldId="1" dataDxfId="6"/>
    <tableColumn id="2" xr3:uid="{28EC0EEC-7D1B-4D14-8292-855462798C73}" uniqueName="2" name="Prénom" queryTableFieldId="2" dataDxfId="5"/>
    <tableColumn id="3" xr3:uid="{7B752FDF-9228-4139-9CBE-1EEE5778769C}" uniqueName="3" name="Adresse de courriel" queryTableFieldId="3" dataDxfId="4"/>
    <tableColumn id="4" xr3:uid="{5629855F-A2E1-46E6-8951-00BD58E8E7FD}" uniqueName="4" name="État" queryTableFieldId="4" dataDxfId="3"/>
    <tableColumn id="5" xr3:uid="{65886C49-6868-4B48-9303-596646170B1E}" uniqueName="5" name="Commencé le" queryTableFieldId="5" dataDxfId="2"/>
    <tableColumn id="6" xr3:uid="{A8F5135B-96BD-4D57-905C-F404ED05DEC9}" uniqueName="6" name="Terminé" queryTableFieldId="6" dataDxfId="1"/>
    <tableColumn id="7" xr3:uid="{9A44852E-0F69-4CAD-A45D-3DCBF5CBE7FA}" uniqueName="7" name="Temps utilisé" queryTableFieldId="7" dataDxfId="0"/>
    <tableColumn id="8" xr3:uid="{42AF0683-2910-44E3-910F-8DF3151CB9FA}" uniqueName="8" name="Note/20,00" queryTableFieldId="8"/>
    <tableColumn id="9" xr3:uid="{BF0228B6-B87E-49CC-8220-9A6169828767}" uniqueName="9" name="Q. 1 /2,22" queryTableFieldId="9"/>
    <tableColumn id="10" xr3:uid="{B6447853-85FD-4638-93D4-6275FD52ECDE}" uniqueName="10" name="Q. 2 /2,22" queryTableFieldId="10"/>
    <tableColumn id="11" xr3:uid="{C3A6A9FC-62D1-41DB-BE76-624C12160258}" uniqueName="11" name="Q. 3 /2,22" queryTableFieldId="11"/>
    <tableColumn id="12" xr3:uid="{DD96C286-16A9-4C0E-BD9A-6B820399F364}" uniqueName="12" name="Q. 4 /2,22" queryTableFieldId="12"/>
    <tableColumn id="13" xr3:uid="{79338FF1-BCF1-445A-B8FF-2E3C4D04C476}" uniqueName="13" name="Q. 5 /2,22" queryTableFieldId="13"/>
    <tableColumn id="14" xr3:uid="{69D90FF8-4784-4194-B40E-E9D24A99C7C9}" uniqueName="14" name="Q. 6 /2,22" queryTableFieldId="14"/>
    <tableColumn id="15" xr3:uid="{37210399-E045-4731-9EE5-342AE2EC9F58}" uniqueName="15" name="Q. 7 /2,22" queryTableFieldId="15"/>
    <tableColumn id="16" xr3:uid="{2E440C88-9F24-45DB-9A4A-D1D2880ACBA8}" uniqueName="16" name="Q. 8 /2,22" queryTableFieldId="16"/>
    <tableColumn id="17" xr3:uid="{394A2CFA-7B70-4D74-99BA-0FCDD7EAFBA6}" uniqueName="17" name="Q. 9 /2,22"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87">
    <tabColor theme="1"/>
  </sheetPr>
  <dimension ref="A2:C40"/>
  <sheetViews>
    <sheetView workbookViewId="0">
      <selection activeCell="I25" sqref="I25"/>
    </sheetView>
  </sheetViews>
  <sheetFormatPr defaultColWidth="11.453125" defaultRowHeight="14.5" x14ac:dyDescent="0.35"/>
  <cols>
    <col min="1" max="1" width="11.453125" style="1"/>
    <col min="2" max="2" width="19.81640625" style="1" bestFit="1" customWidth="1"/>
    <col min="3" max="3" width="58.1796875" style="1" customWidth="1"/>
    <col min="4" max="16384" width="11.453125" style="1"/>
  </cols>
  <sheetData>
    <row r="2" spans="2:3" x14ac:dyDescent="0.35">
      <c r="B2" s="3" t="s">
        <v>0</v>
      </c>
      <c r="C2" s="2" t="s">
        <v>3</v>
      </c>
    </row>
    <row r="3" spans="2:3" x14ac:dyDescent="0.35">
      <c r="C3" s="14" t="s">
        <v>10</v>
      </c>
    </row>
    <row r="4" spans="2:3" x14ac:dyDescent="0.35">
      <c r="C4" s="15"/>
    </row>
    <row r="5" spans="2:3" x14ac:dyDescent="0.35">
      <c r="C5" s="16"/>
    </row>
    <row r="7" spans="2:3" x14ac:dyDescent="0.35">
      <c r="B7" s="3" t="s">
        <v>1</v>
      </c>
      <c r="C7" s="2" t="s">
        <v>2</v>
      </c>
    </row>
    <row r="8" spans="2:3" x14ac:dyDescent="0.35">
      <c r="C8" s="14" t="s">
        <v>4</v>
      </c>
    </row>
    <row r="9" spans="2:3" x14ac:dyDescent="0.35">
      <c r="C9" s="15"/>
    </row>
    <row r="10" spans="2:3" x14ac:dyDescent="0.35">
      <c r="C10" s="16"/>
    </row>
    <row r="12" spans="2:3" x14ac:dyDescent="0.35">
      <c r="B12" s="3" t="s">
        <v>12</v>
      </c>
      <c r="C12" s="2" t="s">
        <v>5</v>
      </c>
    </row>
    <row r="13" spans="2:3" x14ac:dyDescent="0.35">
      <c r="C13" s="14" t="s">
        <v>6</v>
      </c>
    </row>
    <row r="14" spans="2:3" x14ac:dyDescent="0.35">
      <c r="C14" s="15"/>
    </row>
    <row r="15" spans="2:3" x14ac:dyDescent="0.35">
      <c r="C15" s="16"/>
    </row>
    <row r="17" spans="2:3" x14ac:dyDescent="0.35">
      <c r="B17" s="3" t="s">
        <v>13</v>
      </c>
      <c r="C17" s="2" t="s">
        <v>7</v>
      </c>
    </row>
    <row r="18" spans="2:3" x14ac:dyDescent="0.35">
      <c r="C18" s="14" t="s">
        <v>8</v>
      </c>
    </row>
    <row r="19" spans="2:3" x14ac:dyDescent="0.35">
      <c r="C19" s="15"/>
    </row>
    <row r="20" spans="2:3" x14ac:dyDescent="0.35">
      <c r="C20" s="16"/>
    </row>
    <row r="24" spans="2:3" ht="15" customHeight="1" x14ac:dyDescent="0.35">
      <c r="B24" s="4" t="s">
        <v>9</v>
      </c>
      <c r="C24" s="17" t="s">
        <v>11</v>
      </c>
    </row>
    <row r="25" spans="2:3" ht="15" customHeight="1" x14ac:dyDescent="0.35">
      <c r="C25" s="18"/>
    </row>
    <row r="26" spans="2:3" x14ac:dyDescent="0.35">
      <c r="C26" s="18"/>
    </row>
    <row r="27" spans="2:3" x14ac:dyDescent="0.35">
      <c r="C27" s="18"/>
    </row>
    <row r="28" spans="2:3" x14ac:dyDescent="0.35">
      <c r="C28" s="18"/>
    </row>
    <row r="29" spans="2:3" x14ac:dyDescent="0.35">
      <c r="C29" s="18"/>
    </row>
    <row r="30" spans="2:3" x14ac:dyDescent="0.35">
      <c r="C30" s="18"/>
    </row>
    <row r="31" spans="2:3" x14ac:dyDescent="0.35">
      <c r="C31" s="19"/>
    </row>
    <row r="40" spans="1:3" s="5" customFormat="1" x14ac:dyDescent="0.35">
      <c r="A40" s="6">
        <v>2</v>
      </c>
      <c r="B40" s="6">
        <v>4</v>
      </c>
      <c r="C40" s="6">
        <v>6</v>
      </c>
    </row>
  </sheetData>
  <mergeCells count="5">
    <mergeCell ref="C3:C5"/>
    <mergeCell ref="C8:C10"/>
    <mergeCell ref="C13:C15"/>
    <mergeCell ref="C18:C20"/>
    <mergeCell ref="C24:C3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70" r:id="rId4" name="Button 2">
              <controlPr defaultSize="0" print="0" autoFill="0" autoPict="0" macro="[0]!ProcessData">
                <anchor moveWithCells="1" sizeWithCells="1">
                  <from>
                    <xdr:col>3</xdr:col>
                    <xdr:colOff>76200</xdr:colOff>
                    <xdr:row>5</xdr:row>
                    <xdr:rowOff>184150</xdr:rowOff>
                  </from>
                  <to>
                    <xdr:col>6</xdr:col>
                    <xdr:colOff>95250</xdr:colOff>
                    <xdr:row>7</xdr:row>
                    <xdr:rowOff>190500</xdr:rowOff>
                  </to>
                </anchor>
              </controlPr>
            </control>
          </mc:Choice>
        </mc:AlternateContent>
        <mc:AlternateContent xmlns:mc="http://schemas.openxmlformats.org/markup-compatibility/2006">
          <mc:Choice Requires="x14">
            <control shapeId="58371" r:id="rId5" name="Button 3">
              <controlPr defaultSize="0" print="0" autoFill="0" autoPict="0" macro="[0]!GenerateRadarSheets">
                <anchor moveWithCells="1">
                  <from>
                    <xdr:col>3</xdr:col>
                    <xdr:colOff>127000</xdr:colOff>
                    <xdr:row>10</xdr:row>
                    <xdr:rowOff>171450</xdr:rowOff>
                  </from>
                  <to>
                    <xdr:col>6</xdr:col>
                    <xdr:colOff>127000</xdr:colOff>
                    <xdr:row>12</xdr:row>
                    <xdr:rowOff>184150</xdr:rowOff>
                  </to>
                </anchor>
              </controlPr>
            </control>
          </mc:Choice>
        </mc:AlternateContent>
        <mc:AlternateContent xmlns:mc="http://schemas.openxmlformats.org/markup-compatibility/2006">
          <mc:Choice Requires="x14">
            <control shapeId="58372" r:id="rId6" name="Button 4">
              <controlPr defaultSize="0" print="0" autoFill="0" autoPict="0" macro="[0]!CleanRadarSheets">
                <anchor moveWithCells="1" sizeWithCells="1">
                  <from>
                    <xdr:col>3</xdr:col>
                    <xdr:colOff>114300</xdr:colOff>
                    <xdr:row>15</xdr:row>
                    <xdr:rowOff>171450</xdr:rowOff>
                  </from>
                  <to>
                    <xdr:col>6</xdr:col>
                    <xdr:colOff>114300</xdr:colOff>
                    <xdr:row>17</xdr:row>
                    <xdr:rowOff>146050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1:Q17"/>
  <sheetViews>
    <sheetView tabSelected="1" topLeftCell="K1" workbookViewId="0">
      <selection activeCell="F3" sqref="F3:K3"/>
    </sheetView>
  </sheetViews>
  <sheetFormatPr defaultColWidth="10.81640625" defaultRowHeight="14.5" x14ac:dyDescent="0.35"/>
  <sheetData>
    <row r="1" spans="1:17" x14ac:dyDescent="0.35">
      <c r="A1" t="s">
        <v>14</v>
      </c>
      <c r="B1" t="s">
        <v>15</v>
      </c>
      <c r="C1" t="s">
        <v>16</v>
      </c>
      <c r="D1" t="s">
        <v>17</v>
      </c>
      <c r="E1" t="s">
        <v>18</v>
      </c>
      <c r="F1" t="s">
        <v>19</v>
      </c>
      <c r="G1" t="s">
        <v>20</v>
      </c>
      <c r="H1" t="s">
        <v>21</v>
      </c>
      <c r="I1" t="s">
        <v>22</v>
      </c>
      <c r="J1" t="s">
        <v>23</v>
      </c>
      <c r="K1" t="s">
        <v>24</v>
      </c>
      <c r="L1" t="s">
        <v>25</v>
      </c>
      <c r="M1" t="s">
        <v>26</v>
      </c>
      <c r="N1" t="s">
        <v>27</v>
      </c>
      <c r="O1" t="s">
        <v>28</v>
      </c>
      <c r="P1" t="s">
        <v>29</v>
      </c>
      <c r="Q1" t="s">
        <v>30</v>
      </c>
    </row>
    <row r="2" spans="1:17" x14ac:dyDescent="0.35">
      <c r="A2" t="s">
        <v>31</v>
      </c>
      <c r="B2" t="s">
        <v>32</v>
      </c>
      <c r="C2" t="s">
        <v>33</v>
      </c>
      <c r="D2" t="s">
        <v>19</v>
      </c>
      <c r="E2" s="9">
        <v>44929.504861111112</v>
      </c>
      <c r="F2" s="9">
        <v>44929.505555555559</v>
      </c>
      <c r="G2" t="s">
        <v>34</v>
      </c>
      <c r="H2">
        <v>15.56</v>
      </c>
      <c r="I2">
        <v>2.2200000000000002</v>
      </c>
      <c r="J2">
        <v>2.2200000000000002</v>
      </c>
      <c r="K2">
        <v>2.2200000000000002</v>
      </c>
      <c r="L2">
        <v>2.2200000000000002</v>
      </c>
      <c r="M2">
        <v>0</v>
      </c>
      <c r="N2">
        <v>0</v>
      </c>
      <c r="O2">
        <v>2.2200000000000002</v>
      </c>
      <c r="P2">
        <v>2.2200000000000002</v>
      </c>
      <c r="Q2">
        <v>2.2200000000000002</v>
      </c>
    </row>
    <row r="3" spans="1:17" x14ac:dyDescent="0.35">
      <c r="A3" t="s">
        <v>31</v>
      </c>
      <c r="B3" t="s">
        <v>35</v>
      </c>
      <c r="C3" t="s">
        <v>36</v>
      </c>
      <c r="D3" t="s">
        <v>19</v>
      </c>
      <c r="E3" s="9">
        <v>44929.507638888892</v>
      </c>
      <c r="F3" s="9">
        <v>44929.508333333331</v>
      </c>
      <c r="G3" t="s">
        <v>37</v>
      </c>
      <c r="H3">
        <v>7.63</v>
      </c>
      <c r="I3">
        <v>0.37</v>
      </c>
      <c r="J3">
        <v>0.74</v>
      </c>
      <c r="K3">
        <v>1.1100000000000001</v>
      </c>
      <c r="L3">
        <v>1.1100000000000001</v>
      </c>
      <c r="M3">
        <v>2.2200000000000002</v>
      </c>
      <c r="N3">
        <v>0</v>
      </c>
      <c r="O3">
        <v>1.33</v>
      </c>
      <c r="P3">
        <v>2.2200000000000002</v>
      </c>
      <c r="Q3">
        <v>2.2200000000000002</v>
      </c>
    </row>
    <row r="4" spans="1:17" x14ac:dyDescent="0.35">
      <c r="A4" t="s">
        <v>31</v>
      </c>
      <c r="B4" t="s">
        <v>38</v>
      </c>
      <c r="C4" t="s">
        <v>39</v>
      </c>
      <c r="D4" t="s">
        <v>19</v>
      </c>
      <c r="E4" s="9">
        <v>44929.509027777778</v>
      </c>
      <c r="F4" s="9">
        <v>44929.509722222225</v>
      </c>
      <c r="G4" t="s">
        <v>40</v>
      </c>
      <c r="H4">
        <v>9.93</v>
      </c>
      <c r="I4">
        <v>0</v>
      </c>
      <c r="J4">
        <v>2.2200000000000002</v>
      </c>
      <c r="K4">
        <v>0</v>
      </c>
      <c r="L4">
        <v>2.2200000000000002</v>
      </c>
      <c r="M4">
        <v>0</v>
      </c>
      <c r="N4">
        <v>2.2200000000000002</v>
      </c>
      <c r="O4">
        <v>1.78</v>
      </c>
      <c r="P4">
        <v>2.2200000000000002</v>
      </c>
      <c r="Q4">
        <v>0.74</v>
      </c>
    </row>
    <row r="5" spans="1:17" x14ac:dyDescent="0.35">
      <c r="A5" t="s">
        <v>41</v>
      </c>
      <c r="B5" t="s">
        <v>42</v>
      </c>
      <c r="C5" t="s">
        <v>42</v>
      </c>
      <c r="D5" t="s">
        <v>42</v>
      </c>
      <c r="E5" s="9"/>
      <c r="F5" s="9"/>
      <c r="G5" t="s">
        <v>42</v>
      </c>
      <c r="H5">
        <v>11.04</v>
      </c>
      <c r="I5">
        <v>0.86</v>
      </c>
      <c r="J5">
        <v>1.23</v>
      </c>
      <c r="K5">
        <v>1.1100000000000001</v>
      </c>
      <c r="L5">
        <v>1.1100000000000001</v>
      </c>
      <c r="M5">
        <v>0.74</v>
      </c>
      <c r="N5">
        <v>0.74</v>
      </c>
      <c r="O5">
        <v>1.78</v>
      </c>
      <c r="P5">
        <v>2.2200000000000002</v>
      </c>
      <c r="Q5">
        <v>1.23</v>
      </c>
    </row>
    <row r="16" spans="1:17" x14ac:dyDescent="0.35">
      <c r="H16" s="8"/>
      <c r="I16" s="8"/>
      <c r="J16" s="8"/>
      <c r="K16" s="8"/>
      <c r="L16" s="8"/>
      <c r="M16" s="8"/>
      <c r="N16" s="8"/>
      <c r="O16" s="8"/>
      <c r="P16" s="8"/>
    </row>
    <row r="17" spans="16:16" x14ac:dyDescent="0.35">
      <c r="P17" s="7"/>
    </row>
  </sheetData>
  <phoneticPr fontId="10"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2ADF9-B4D9-4614-A89E-56A71081EE65}">
  <sheetPr codeName="Feuil2"/>
  <dimension ref="A1:F16"/>
  <sheetViews>
    <sheetView workbookViewId="0"/>
  </sheetViews>
  <sheetFormatPr defaultColWidth="10.90625" defaultRowHeight="14.5" x14ac:dyDescent="0.35"/>
  <cols>
    <col min="1" max="1" width="16.54296875" bestFit="1" customWidth="1"/>
    <col min="2" max="2" width="10.453125" bestFit="1" customWidth="1"/>
    <col min="3" max="3" width="10.81640625" style="12" bestFit="1" customWidth="1"/>
    <col min="4" max="5" width="10.453125" style="13" bestFit="1" customWidth="1"/>
    <col min="6" max="6" width="10.54296875" style="13" bestFit="1" customWidth="1"/>
  </cols>
  <sheetData>
    <row r="1" spans="1:6" s="10" customFormat="1" x14ac:dyDescent="0.35">
      <c r="A1" s="10" t="s">
        <v>14</v>
      </c>
      <c r="B1" s="10" t="s">
        <v>15</v>
      </c>
      <c r="C1" s="10" t="s">
        <v>21</v>
      </c>
      <c r="D1" s="11" t="s">
        <v>43</v>
      </c>
      <c r="E1" s="11" t="s">
        <v>44</v>
      </c>
      <c r="F1" s="11" t="s">
        <v>45</v>
      </c>
    </row>
    <row r="2" spans="1:6" x14ac:dyDescent="0.35">
      <c r="A2" t="s">
        <v>31</v>
      </c>
      <c r="B2" t="s">
        <v>32</v>
      </c>
      <c r="C2" s="12">
        <v>15.56</v>
      </c>
      <c r="D2" s="13">
        <f>AVERAGE(VALUE('Notes du quiz'!$I2),VALUE('Notes du quiz'!$J2),VALUE('Notes du quiz'!$L2),VALUE('Notes du quiz'!$Q2))</f>
        <v>2.2200000000000002</v>
      </c>
      <c r="E2" s="13">
        <f>AVERAGE(VALUE('Notes du quiz'!$M2),VALUE('Notes du quiz'!$N2),VALUE('Notes du quiz'!$O2))</f>
        <v>0.7400000000000001</v>
      </c>
      <c r="F2" s="13">
        <f>AVERAGE(VALUE('Notes du quiz'!$K2),VALUE('Notes du quiz'!$P2))</f>
        <v>2.2200000000000002</v>
      </c>
    </row>
    <row r="3" spans="1:6" x14ac:dyDescent="0.35">
      <c r="A3" t="s">
        <v>31</v>
      </c>
      <c r="B3" t="s">
        <v>35</v>
      </c>
      <c r="C3" s="12">
        <v>7.63</v>
      </c>
      <c r="D3" s="13">
        <f>AVERAGE(VALUE('Notes du quiz'!$I3),VALUE('Notes du quiz'!$J3),VALUE('Notes du quiz'!$L3),VALUE('Notes du quiz'!$Q3))</f>
        <v>1.1099999999999999</v>
      </c>
      <c r="E3" s="13">
        <f>AVERAGE(VALUE('Notes du quiz'!$M3),VALUE('Notes du quiz'!$N3),VALUE('Notes du quiz'!$O3))</f>
        <v>1.1833333333333333</v>
      </c>
      <c r="F3" s="13">
        <f>AVERAGE(VALUE('Notes du quiz'!$K3),VALUE('Notes du quiz'!$P3))</f>
        <v>1.665</v>
      </c>
    </row>
    <row r="4" spans="1:6" x14ac:dyDescent="0.35">
      <c r="A4" t="s">
        <v>31</v>
      </c>
      <c r="B4" t="s">
        <v>38</v>
      </c>
      <c r="C4" s="12">
        <v>9.93</v>
      </c>
      <c r="D4" s="13">
        <f>AVERAGE(VALUE('Notes du quiz'!$I4),VALUE('Notes du quiz'!$J4),VALUE('Notes du quiz'!$L4),VALUE('Notes du quiz'!$Q4))</f>
        <v>1.2950000000000002</v>
      </c>
      <c r="E4" s="13">
        <f>AVERAGE(VALUE('Notes du quiz'!$M4),VALUE('Notes du quiz'!$N4),VALUE('Notes du quiz'!$O4))</f>
        <v>1.3333333333333333</v>
      </c>
      <c r="F4" s="13">
        <f>AVERAGE(VALUE('Notes du quiz'!$K4),VALUE('Notes du quiz'!$P4))</f>
        <v>1.1100000000000001</v>
      </c>
    </row>
    <row r="5" spans="1:6" x14ac:dyDescent="0.35">
      <c r="A5" t="s">
        <v>41</v>
      </c>
      <c r="B5" t="s">
        <v>42</v>
      </c>
      <c r="C5" s="12">
        <v>11.04</v>
      </c>
      <c r="D5" s="13">
        <f>AVERAGE(VALUE('Notes du quiz'!$I5),VALUE('Notes du quiz'!$J5),VALUE('Notes du quiz'!$L5),VALUE('Notes du quiz'!$Q5))</f>
        <v>1.1074999999999999</v>
      </c>
      <c r="E5" s="13">
        <f>AVERAGE(VALUE('Notes du quiz'!$M5),VALUE('Notes du quiz'!$N5),VALUE('Notes du quiz'!$O5))</f>
        <v>1.0866666666666667</v>
      </c>
      <c r="F5" s="13">
        <f>AVERAGE(VALUE('Notes du quiz'!$K5),VALUE('Notes du quiz'!$P5))</f>
        <v>1.665</v>
      </c>
    </row>
    <row r="16" spans="1:6" x14ac:dyDescent="0.35">
      <c r="C16" s="1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B3305D8ABC15B458F9FF37714A32B5E" ma:contentTypeVersion="14" ma:contentTypeDescription="Crée un document." ma:contentTypeScope="" ma:versionID="c8bf773b8dc32446637ac35ca65573e9">
  <xsd:schema xmlns:xsd="http://www.w3.org/2001/XMLSchema" xmlns:xs="http://www.w3.org/2001/XMLSchema" xmlns:p="http://schemas.microsoft.com/office/2006/metadata/properties" xmlns:ns3="f437f12d-edb1-4da6-9e94-8f49c143295e" xmlns:ns4="ac6daadd-1783-47c9-b87c-9f56e0fc549f" targetNamespace="http://schemas.microsoft.com/office/2006/metadata/properties" ma:root="true" ma:fieldsID="7abbd592d559911a0456a68291de6773" ns3:_="" ns4:_="">
    <xsd:import namespace="f437f12d-edb1-4da6-9e94-8f49c143295e"/>
    <xsd:import namespace="ac6daadd-1783-47c9-b87c-9f56e0fc549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GenerationTime" minOccurs="0"/>
                <xsd:element ref="ns4:MediaServiceEventHashCode" minOccurs="0"/>
                <xsd:element ref="ns4:MediaServiceDateTaken" minOccurs="0"/>
                <xsd:element ref="ns4:MediaLengthInSeconds" minOccurs="0"/>
                <xsd:element ref="ns4:MediaServiceOCR"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37f12d-edb1-4da6-9e94-8f49c143295e"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c6daadd-1783-47c9-b87c-9f56e0fc549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E1C230-49BF-471F-B3A1-E967FCDE45FF}">
  <ds:schemaRefs>
    <ds:schemaRef ds:uri="http://schemas.microsoft.com/DataMashup"/>
  </ds:schemaRefs>
</ds:datastoreItem>
</file>

<file path=customXml/itemProps2.xml><?xml version="1.0" encoding="utf-8"?>
<ds:datastoreItem xmlns:ds="http://schemas.openxmlformats.org/officeDocument/2006/customXml" ds:itemID="{E2B022EB-08DA-4884-B0D5-3BFAF03E0A16}">
  <ds:schemaRefs>
    <ds:schemaRef ds:uri="http://purl.org/dc/terms/"/>
    <ds:schemaRef ds:uri="ac6daadd-1783-47c9-b87c-9f56e0fc549f"/>
    <ds:schemaRef ds:uri="http://www.w3.org/XML/1998/namespace"/>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f437f12d-edb1-4da6-9e94-8f49c143295e"/>
    <ds:schemaRef ds:uri="http://purl.org/dc/dcmitype/"/>
  </ds:schemaRefs>
</ds:datastoreItem>
</file>

<file path=customXml/itemProps3.xml><?xml version="1.0" encoding="utf-8"?>
<ds:datastoreItem xmlns:ds="http://schemas.openxmlformats.org/officeDocument/2006/customXml" ds:itemID="{123C4DC0-E6A6-4F00-A0D8-524A479F61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37f12d-edb1-4da6-9e94-8f49c143295e"/>
    <ds:schemaRef ds:uri="ac6daadd-1783-47c9-b87c-9f56e0fc54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322A115-5C81-409B-B870-A2FDBD2D7F2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START</vt:lpstr>
      <vt:lpstr>Notes du quiz</vt:lpstr>
      <vt:lpstr>Notes Traitées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Samir Medjiah</dc:creator>
  <cp:lastModifiedBy>ndgng</cp:lastModifiedBy>
  <dcterms:created xsi:type="dcterms:W3CDTF">2021-06-24T18:51:04Z</dcterms:created>
  <dcterms:modified xsi:type="dcterms:W3CDTF">2023-01-10T14:42:51Z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0x010100AB3305D8ABC15B458F9FF37714A32B5E</vt:lpwstr>
  </property>
</Properties>
</file>